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9675" windowHeight="7845" activeTab="2"/>
  </bookViews>
  <sheets>
    <sheet name="お酒マスタ" sheetId="2" r:id="rId1"/>
    <sheet name="飲酒記録" sheetId="3" r:id="rId2"/>
    <sheet name="集計" sheetId="4" r:id="rId3"/>
  </sheets>
  <functionGroups/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F2"/>
  <c r="G2" l="1"/>
</calcChain>
</file>

<file path=xl/sharedStrings.xml><?xml version="1.0" encoding="utf-8"?>
<sst xmlns="http://schemas.openxmlformats.org/spreadsheetml/2006/main" count="31" uniqueCount="24">
  <si>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</si>
  <si>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</si>
  <si>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</si>
  <si>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</si>
  <si>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</si>
  <si>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</si>
  <si>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</si>
  <si>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</si>
  <si>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</si>
  <si>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</si>
  <si>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日時</t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</si>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</sst>
</file>

<file path=xl/styles.xml><?xml version="1.0" encoding="utf-8"?>
<styleSheet xmlns="http://schemas.openxmlformats.org/spreadsheetml/2006/main">
  <numFmts count="2">
    <numFmt numFmtId="176" formatCode="#,##0.0_ 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集計!$A$2:$A$4</c:f>
              <c:numCache>
                <c:formatCode>yyyy/mm/dd</c:formatCode>
                <c:ptCount val="3"/>
                <c:pt idx="0">
                  <c:v>45832</c:v>
                </c:pt>
                <c:pt idx="1">
                  <c:v>45833</c:v>
                </c:pt>
                <c:pt idx="2">
                  <c:v>45892</c:v>
                </c:pt>
              </c:numCache>
            </c:numRef>
          </c:cat>
          <c:val>
            <c:numRef>
              <c:f>集計!$B$2:$B$4</c:f>
              <c:numCache>
                <c:formatCode>General</c:formatCode>
                <c:ptCount val="3"/>
                <c:pt idx="0">
                  <c:v>465.5</c:v>
                </c:pt>
                <c:pt idx="1">
                  <c:v>110</c:v>
                </c:pt>
                <c:pt idx="2">
                  <c:v>8</c:v>
                </c:pt>
              </c:numCache>
            </c:numRef>
          </c:val>
        </c:ser>
        <c:axId val="144052992"/>
        <c:axId val="144054528"/>
      </c:barChart>
      <c:dateAx>
        <c:axId val="144052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144054528"/>
        <c:crosses val="autoZero"/>
        <c:auto val="1"/>
        <c:lblOffset val="100"/>
      </c:dateAx>
      <c:valAx>
        <c:axId val="14405452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General" sourceLinked="1"/>
        <c:tickLblPos val="nextTo"/>
        <c:crossAx val="1440529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3</xdr:row>
      <xdr:rowOff>76200</xdr:rowOff>
    </xdr:from>
    <xdr:to>
      <xdr:col>13</xdr:col>
      <xdr:colOff>244475</xdr:colOff>
      <xdr:row>25</xdr:row>
      <xdr:rowOff>114300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4"/>
  <sheetViews>
    <sheetView workbookViewId="0">
      <selection activeCell="E6" sqref="E6"/>
    </sheetView>
  </sheetViews>
  <sheetFormatPr defaultRowHeight="13.5"/>
  <cols>
    <col min="1" max="1" width="3.25" bestFit="1" customWidth="1"/>
    <col min="2" max="2" width="10.875" bestFit="1" customWidth="1"/>
    <col min="3" max="3" width="6.75" bestFit="1" customWidth="1"/>
    <col min="4" max="4" width="7.5" bestFit="1" customWidth="1"/>
    <col min="5" max="5" width="13.375" bestFit="1" customWidth="1"/>
    <col min="6" max="6" width="9.25" bestFit="1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4</v>
      </c>
    </row>
    <row r="2" spans="1:6">
      <c r="A2">
        <v>1</v>
      </c>
      <c r="B2" s="1" t="s">
        <v>6</v>
      </c>
      <c r="C2" s="1" t="s">
        <v>5</v>
      </c>
      <c r="D2">
        <v>20</v>
      </c>
      <c r="E2">
        <v>1832</v>
      </c>
      <c r="F2">
        <v>80</v>
      </c>
    </row>
    <row r="3" spans="1:6">
      <c r="A3">
        <v>2</v>
      </c>
      <c r="B3" s="1" t="s">
        <v>7</v>
      </c>
      <c r="C3" s="1" t="s">
        <v>8</v>
      </c>
      <c r="D3">
        <v>5</v>
      </c>
      <c r="E3">
        <v>350</v>
      </c>
      <c r="F3">
        <v>0</v>
      </c>
    </row>
    <row r="4" spans="1:6">
      <c r="A4">
        <v>3</v>
      </c>
      <c r="B4" s="1" t="s">
        <v>6</v>
      </c>
      <c r="C4" s="1" t="s">
        <v>5</v>
      </c>
      <c r="D4" s="1">
        <v>25</v>
      </c>
      <c r="E4" s="1">
        <v>1832</v>
      </c>
    </row>
  </sheetData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selection activeCell="D9" sqref="D9"/>
    </sheetView>
  </sheetViews>
  <sheetFormatPr defaultRowHeight="13.5"/>
  <cols>
    <col min="1" max="1" width="10.5" bestFit="1" customWidth="1"/>
    <col min="2" max="2" width="10.875" bestFit="1" customWidth="1"/>
    <col min="3" max="3" width="11.25" bestFit="1" customWidth="1"/>
    <col min="4" max="5" width="11" bestFit="1" customWidth="1"/>
    <col min="6" max="6" width="7.25" bestFit="1" customWidth="1"/>
    <col min="7" max="7" width="3.25" style="1" bestFit="1" customWidth="1"/>
  </cols>
  <sheetData>
    <row r="1" spans="1:7">
      <c r="A1" t="s">
        <v>10</v>
      </c>
      <c r="B1" s="1" t="s">
        <v>1</v>
      </c>
      <c r="C1" s="1" t="s">
        <v>11</v>
      </c>
      <c r="D1" s="1" t="s">
        <v>13</v>
      </c>
      <c r="E1" s="1" t="s">
        <v>14</v>
      </c>
      <c r="F1" s="1" t="s">
        <v>15</v>
      </c>
      <c r="G1" s="1" t="s">
        <v>12</v>
      </c>
    </row>
    <row r="2" spans="1:7">
      <c r="A2" s="2">
        <v>45832</v>
      </c>
      <c r="B2" s="1" t="s">
        <v>16</v>
      </c>
      <c r="C2">
        <v>888</v>
      </c>
      <c r="D2" s="3">
        <v>151</v>
      </c>
      <c r="E2" s="3">
        <v>944</v>
      </c>
      <c r="G2" s="1">
        <v>1</v>
      </c>
    </row>
    <row r="3" spans="1:7">
      <c r="A3" s="2">
        <v>45832</v>
      </c>
      <c r="B3" s="1" t="s">
        <v>16</v>
      </c>
      <c r="C3" s="3">
        <v>888.2</v>
      </c>
      <c r="D3" s="3">
        <v>151</v>
      </c>
      <c r="E3" s="3">
        <v>943.8</v>
      </c>
      <c r="G3" s="1">
        <v>2</v>
      </c>
    </row>
    <row r="4" spans="1:7">
      <c r="A4" s="2">
        <v>45833</v>
      </c>
      <c r="B4" s="1" t="s">
        <v>16</v>
      </c>
      <c r="C4">
        <v>1522.2</v>
      </c>
      <c r="D4" s="3">
        <v>49.6</v>
      </c>
      <c r="E4" s="3">
        <v>309.8</v>
      </c>
      <c r="G4" s="1">
        <v>3</v>
      </c>
    </row>
    <row r="5" spans="1:7">
      <c r="A5" s="2">
        <v>45892</v>
      </c>
      <c r="B5" s="1" t="s">
        <v>17</v>
      </c>
      <c r="C5" s="4">
        <v>150</v>
      </c>
      <c r="D5" s="4">
        <v>8</v>
      </c>
      <c r="E5" s="4">
        <v>200</v>
      </c>
      <c r="F5" s="1"/>
      <c r="G5" s="1">
        <v>4</v>
      </c>
    </row>
    <row r="6" spans="1:7">
      <c r="A6" s="2">
        <v>45832</v>
      </c>
      <c r="B6" s="1" t="s">
        <v>16</v>
      </c>
      <c r="C6" s="4">
        <v>500.3</v>
      </c>
      <c r="D6" s="4">
        <v>163.5</v>
      </c>
      <c r="E6" s="4">
        <v>1021.9</v>
      </c>
      <c r="F6" s="1"/>
      <c r="G6" s="1">
        <v>5</v>
      </c>
    </row>
    <row r="7" spans="1:7">
      <c r="A7" s="2">
        <v>45833</v>
      </c>
      <c r="B7" s="1" t="s">
        <v>16</v>
      </c>
      <c r="C7" s="4">
        <v>123</v>
      </c>
      <c r="D7" s="4">
        <v>60.4</v>
      </c>
      <c r="E7" s="4">
        <v>377.3</v>
      </c>
      <c r="F7" s="1"/>
      <c r="G7" s="1">
        <v>7</v>
      </c>
    </row>
    <row r="8" spans="1:7">
      <c r="B8" s="1"/>
      <c r="C8" s="1"/>
      <c r="D8" s="1"/>
      <c r="E8" s="1"/>
      <c r="F8" s="1"/>
    </row>
    <row r="9" spans="1:7">
      <c r="B9" s="1"/>
      <c r="C9" s="1"/>
      <c r="D9" s="1"/>
      <c r="E9" s="1"/>
      <c r="F9" s="1"/>
    </row>
    <row r="10" spans="1:7">
      <c r="B10" s="1"/>
      <c r="C10" s="1"/>
      <c r="D10" s="1"/>
      <c r="E10" s="1"/>
      <c r="F10" s="1"/>
    </row>
    <row r="11" spans="1:7">
      <c r="B11" s="1"/>
      <c r="C11" s="1"/>
      <c r="D11" s="1"/>
      <c r="E11" s="1"/>
      <c r="F11" s="1"/>
    </row>
    <row r="12" spans="1:7">
      <c r="B12" s="1"/>
      <c r="C12" s="1"/>
      <c r="D12" s="1"/>
      <c r="E12" s="1"/>
      <c r="F12" s="1"/>
    </row>
    <row r="13" spans="1:7">
      <c r="B13" s="1"/>
      <c r="C13" s="1"/>
      <c r="D13" s="1"/>
      <c r="E13" s="1"/>
      <c r="F13" s="1"/>
    </row>
    <row r="14" spans="1:7">
      <c r="B14" s="1"/>
      <c r="C14" s="1"/>
      <c r="D14" s="1"/>
      <c r="E14" s="1"/>
      <c r="F14" s="1"/>
    </row>
    <row r="15" spans="1:7">
      <c r="B15" s="1"/>
      <c r="C15" s="1"/>
      <c r="D15" s="1"/>
      <c r="E15" s="1"/>
      <c r="F15" s="1"/>
    </row>
    <row r="16" spans="1:7">
      <c r="B16" s="1"/>
      <c r="C16" s="1"/>
      <c r="D16" s="1"/>
      <c r="E16" s="1"/>
      <c r="F16" s="1"/>
    </row>
    <row r="17" spans="2:6">
      <c r="B17" s="1"/>
      <c r="C17" s="1"/>
      <c r="D17" s="1"/>
      <c r="E17" s="1"/>
      <c r="F17" s="1"/>
    </row>
    <row r="18" spans="2:6">
      <c r="B18" s="1"/>
      <c r="C18" s="1"/>
      <c r="D18" s="1"/>
      <c r="E18" s="1"/>
      <c r="F18" s="1"/>
    </row>
    <row r="19" spans="2:6">
      <c r="B19" s="1"/>
      <c r="C19" s="1"/>
      <c r="D19" s="1"/>
      <c r="E19" s="1"/>
      <c r="F19" s="1"/>
    </row>
    <row r="20" spans="2:6">
      <c r="B20" s="1"/>
      <c r="C20" s="1"/>
      <c r="D20" s="1"/>
      <c r="E20" s="1"/>
      <c r="F20" s="1"/>
    </row>
  </sheetData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4"/>
  <sheetViews>
    <sheetView tabSelected="1" workbookViewId="0">
      <selection activeCell="A8" sqref="A8"/>
    </sheetView>
  </sheetViews>
  <sheetFormatPr defaultRowHeight="13.5"/>
  <cols>
    <col min="1" max="1" width="10.5" bestFit="1" customWidth="1"/>
    <col min="2" max="2" width="14.25" bestFit="1" customWidth="1"/>
    <col min="4" max="5" width="2.625" customWidth="1"/>
    <col min="7" max="7" width="11" bestFit="1" customWidth="1"/>
    <col min="8" max="8" width="9.5" bestFit="1" customWidth="1"/>
    <col min="9" max="9" width="10.5" bestFit="1" customWidth="1"/>
  </cols>
  <sheetData>
    <row r="1" spans="1:9">
      <c r="A1" s="1" t="s">
        <v>18</v>
      </c>
      <c r="B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>
        <v>45832</v>
      </c>
      <c r="B2">
        <v>465.5</v>
      </c>
      <c r="F2">
        <f>SUM($B$2:$B$4)</f>
        <v>583.5</v>
      </c>
      <c r="G2">
        <f ca="1">SUMIFS($B$2:$B$4,$A$2:$A$4,"&gt;="&amp;$H$2,$A$2:$A$4,"&lt;="&amp;$I$2)</f>
        <v>575.5</v>
      </c>
      <c r="H2" s="2">
        <f ca="1">DATE(YEAR(TODAY()), MONTH(TODAY()), 1)</f>
        <v>45809</v>
      </c>
      <c r="I2" s="2">
        <f ca="1">EOMONTH(H2, 0)</f>
        <v>45838</v>
      </c>
    </row>
    <row r="3" spans="1:9">
      <c r="A3" s="2">
        <v>45833</v>
      </c>
      <c r="B3">
        <v>110</v>
      </c>
    </row>
    <row r="4" spans="1:9">
      <c r="A4" s="2">
        <v>45892</v>
      </c>
      <c r="B4">
        <v>8</v>
      </c>
    </row>
  </sheetData>
  <sortState ref="A2:B4">
    <sortCondition ref="A2"/>
  </sortState>
  <phoneticPr fontId="1"/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お酒マスタ</vt:lpstr>
      <vt:lpstr>飲酒記録</vt:lpstr>
      <vt:lpstr>集計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2025-06-27T08:11:24Z</dcterms:modified>
</cp:coreProperties>
</file>