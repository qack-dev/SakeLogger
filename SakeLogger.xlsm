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1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<sst xmlns="http://schemas.openxmlformats.org/spreadsheetml/2006/main" count="148" uniqueCount="50">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</sst>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52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集計!$A$2:$A$6</c:f>
              <c:numCache>
                <c:formatCode>yyyy/mm/dd</c:formatCode>
                <c:ptCount val="5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45836</c:v>
                </c:pt>
                <c:pt idx="4">
                  <c:v>45892</c:v>
                </c:pt>
              </c:numCache>
            </c:numRef>
          </c:cat>
          <c:val>
            <c:numRef>
              <c:f>集計!$B$2:$B$6</c:f>
              <c:numCache>
                <c:formatCode>0.0</c:formatCode>
                <c:ptCount val="5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13.2</c:v>
                </c:pt>
                <c:pt idx="4">
                  <c:v>8</c:v>
                </c:pt>
              </c:numCache>
            </c:numRef>
          </c:val>
        </c:ser>
        <c:axId val="88409216"/>
        <c:axId val="88411520"/>
      </c:barChart>
      <c:dateAx>
        <c:axId val="88409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88411520"/>
        <c:crosses val="autoZero"/>
        <c:auto val="1"/>
        <c:lblOffset val="100"/>
      </c:dateAx>
      <c:valAx>
        <c:axId val="884115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88409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13</xdr:col>
      <xdr:colOff>158750</xdr:colOff>
      <xdr:row>25</xdr:row>
      <xdr:rowOff>114300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6"/>
  <sheetViews>
    <sheetView workbookViewId="0">
      <selection sqref="A1:A1048576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45832</v>
      </c>
      <c r="B2" s="4">
        <v>465.5</v>
      </c>
      <c r="F2" s="4">
        <f>SUM($B$2:$B$6)</f>
        <v>602</v>
      </c>
      <c r="G2" s="4">
        <f ca="1">SUMIFS($B$2:$B$6,$A$2:$A$6,"&gt;="&amp;$H$2,$A$2:$A$6,"&lt;="&amp;$I$2)</f>
        <v>594</v>
      </c>
      <c r="H2" s="6">
        <f ca="1">DATE(YEAR(TODAY()), MONTH(TODAY()), 1)</f>
        <v>45809</v>
      </c>
      <c r="I2" s="6">
        <f ca="1">EOMONTH(H2, 0)</f>
        <v>45838</v>
      </c>
    </row>
    <row r="3" spans="1:9">
      <c r="A3" s="6">
        <v>45833</v>
      </c>
      <c r="B3" s="4">
        <v>110</v>
      </c>
    </row>
    <row r="4" spans="1:9">
      <c r="A4" s="6">
        <v>45835</v>
      </c>
      <c r="B4" s="4">
        <v>5.3</v>
      </c>
    </row>
    <row r="5" spans="1:9">
      <c r="A5" s="6">
        <v>45836</v>
      </c>
      <c r="B5" s="4">
        <v>13.2</v>
      </c>
    </row>
    <row r="6" spans="1:9">
      <c r="A6" s="6">
        <v>45892</v>
      </c>
      <c r="B6" s="4">
        <v>8</v>
      </c>
    </row>
  </sheetData>
  <sortState ref="A2:B6">
    <sortCondition ref="A2"/>
  </sortState>
  <phoneticPr fontId="1"/>
  <conditionalFormatting sqref="A1:A1048576">
    <cfRule type="expression" dxfId="17" priority="6" stopIfTrue="1">
      <formula>AND(A1&lt;&gt;"日付",$A1&lt;&gt;"", COUNTIF(祝日リスト,$A1)&gt;0)</formula>
    </cfRule>
    <cfRule type="expression" dxfId="16" priority="7">
      <formula>AND($B1&lt;&gt;"", WEEKDAY($B1)=1)</formula>
    </cfRule>
    <cfRule type="expression" dxfId="15" priority="8">
      <formula>AND($B1&lt;&gt;"", WEEKDAY($B1)=7)</formula>
    </cfRule>
  </conditionalFormatting>
  <conditionalFormatting sqref="H2:I2">
    <cfRule type="expression" dxfId="14" priority="1" stopIfTrue="1">
      <formula>AND(H2&lt;&gt;"", COUNTIF(祝日リスト,H2)&gt;0)</formula>
    </cfRule>
    <cfRule type="expression" dxfId="13" priority="2">
      <formula>AND(H2&lt;&gt;"", WEEKDAY(H2)=1)</formula>
    </cfRule>
    <cfRule type="expression" dxfId="12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13" activePane="bottomLeft" state="frozen"/>
      <selection pane="bottomLeft" activeCell="E13" sqref="E13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2025-06-30T13:46:50Z</dcterms:modified>
</cp:coreProperties>
</file>