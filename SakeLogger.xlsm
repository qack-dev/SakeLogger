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9675" windowHeight="7845" activeTab="3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  <definedName name="_xlnm._FilterDatabase" localSheetId="3" hidden="1">祝日マスタ!$A$1:$C$3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<sst xmlns="http://schemas.openxmlformats.org/spreadsheetml/2006/main" count="147" uniqueCount="50">
  <si>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</si>
  <si>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</si>
  <si>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</si>
  <si>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</si>
  <si>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</si>
  <si>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</si>
  <si>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</si>
  <si>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</si>
  <si>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</si>
  <si>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</si>
  <si>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日時</t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</si>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</sst>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集計!$A$2:$A$6</c:f>
              <c:numCache>
                <c:formatCode>yyyy/mm/dd</c:formatCode>
                <c:ptCount val="5"/>
                <c:pt idx="0">
                  <c:v>45832</c:v>
                </c:pt>
                <c:pt idx="1">
                  <c:v>45833</c:v>
                </c:pt>
                <c:pt idx="2">
                  <c:v>45835</c:v>
                </c:pt>
                <c:pt idx="3">
                  <c:v>45836</c:v>
                </c:pt>
                <c:pt idx="4">
                  <c:v>45892</c:v>
                </c:pt>
              </c:numCache>
            </c:numRef>
          </c:cat>
          <c:val>
            <c:numRef>
              <c:f>集計!$B$2:$B$6</c:f>
              <c:numCache>
                <c:formatCode>0.0</c:formatCode>
                <c:ptCount val="5"/>
                <c:pt idx="0">
                  <c:v>465.5</c:v>
                </c:pt>
                <c:pt idx="1">
                  <c:v>110</c:v>
                </c:pt>
                <c:pt idx="2">
                  <c:v>5.3</c:v>
                </c:pt>
                <c:pt idx="3">
                  <c:v>13.2</c:v>
                </c:pt>
                <c:pt idx="4">
                  <c:v>8</c:v>
                </c:pt>
              </c:numCache>
            </c:numRef>
          </c:val>
        </c:ser>
        <c:axId val="88409216"/>
        <c:axId val="88411520"/>
      </c:barChart>
      <c:dateAx>
        <c:axId val="88409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88411520"/>
        <c:crosses val="autoZero"/>
        <c:auto val="1"/>
        <c:lblOffset val="100"/>
      </c:dateAx>
      <c:valAx>
        <c:axId val="884115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88409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76200</xdr:rowOff>
    </xdr:from>
    <xdr:to>
      <xdr:col>13</xdr:col>
      <xdr:colOff>158750</xdr:colOff>
      <xdr:row>25</xdr:row>
      <xdr:rowOff>114300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27</v>
      </c>
      <c r="C5" s="5" t="s">
        <v>28</v>
      </c>
      <c r="D5" s="5">
        <v>55</v>
      </c>
      <c r="E5" s="5">
        <v>800</v>
      </c>
      <c r="F5" s="5">
        <v>50</v>
      </c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12</v>
      </c>
      <c r="B1" s="2" t="s">
        <v>10</v>
      </c>
      <c r="C1" s="2" t="s">
        <v>1</v>
      </c>
      <c r="D1" s="2" t="s">
        <v>11</v>
      </c>
      <c r="E1" s="2" t="s">
        <v>13</v>
      </c>
      <c r="F1" s="2" t="s">
        <v>14</v>
      </c>
      <c r="G1" s="2" t="s">
        <v>15</v>
      </c>
    </row>
    <row r="2" spans="1:7">
      <c r="A2" s="2">
        <v>1</v>
      </c>
      <c r="B2" s="6">
        <v>45832</v>
      </c>
      <c r="C2" s="2" t="s">
        <v>16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16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16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17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16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16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16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29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29</v>
      </c>
      <c r="D10" s="4">
        <v>700.3</v>
      </c>
      <c r="E10" s="4">
        <v>30.7</v>
      </c>
      <c r="F10" s="4">
        <v>69.7</v>
      </c>
      <c r="G10" s="2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6"/>
  <sheetViews>
    <sheetView workbookViewId="0">
      <selection activeCell="B9" sqref="B9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11" bestFit="1" customWidth="1"/>
    <col min="8" max="9" width="11.625" bestFit="1" customWidth="1"/>
  </cols>
  <sheetData>
    <row r="1" spans="1:9">
      <c r="A1" s="2" t="s">
        <v>18</v>
      </c>
      <c r="B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</row>
    <row r="2" spans="1:9">
      <c r="A2" s="6">
        <v>45832</v>
      </c>
      <c r="B2" s="4">
        <v>465.5</v>
      </c>
      <c r="F2" s="4">
        <f>SUM($B$2:$B$6)</f>
        <v>602</v>
      </c>
      <c r="G2" s="4">
        <f ca="1">SUMIFS($B$2:$B$6,$A$2:$A$6,"&gt;="&amp;$H$2,$A$2:$A$6,"&lt;="&amp;$I$2)</f>
        <v>594</v>
      </c>
      <c r="H2" s="6">
        <f ca="1">DATE(YEAR(TODAY()), MONTH(TODAY()), 1)</f>
        <v>45809</v>
      </c>
      <c r="I2" s="6">
        <f ca="1">EOMONTH(H2, 0)</f>
        <v>45838</v>
      </c>
    </row>
    <row r="3" spans="1:9">
      <c r="A3" s="6">
        <v>45833</v>
      </c>
      <c r="B3" s="4">
        <v>110</v>
      </c>
    </row>
    <row r="4" spans="1:9">
      <c r="A4" s="6">
        <v>45835</v>
      </c>
      <c r="B4" s="4">
        <v>5.3</v>
      </c>
    </row>
    <row r="5" spans="1:9">
      <c r="A5" s="6">
        <v>45836</v>
      </c>
      <c r="B5" s="4">
        <v>13.2</v>
      </c>
    </row>
    <row r="6" spans="1:9">
      <c r="A6" s="6">
        <v>45892</v>
      </c>
      <c r="B6" s="4">
        <v>8</v>
      </c>
    </row>
  </sheetData>
  <sortState ref="A2:B6">
    <sortCondition ref="A2"/>
  </sortState>
  <phoneticPr fontId="1"/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24</v>
      </c>
      <c r="B1" s="2" t="s">
        <v>25</v>
      </c>
      <c r="C1" s="2" t="s">
        <v>26</v>
      </c>
    </row>
    <row r="2" spans="1:3">
      <c r="A2" s="6">
        <v>45658</v>
      </c>
      <c r="B2" s="2" t="s">
        <v>30</v>
      </c>
      <c r="C2" s="2" t="s">
        <v>31</v>
      </c>
    </row>
    <row r="3" spans="1:3">
      <c r="A3" s="6">
        <v>45670</v>
      </c>
      <c r="B3" s="2" t="s">
        <v>32</v>
      </c>
      <c r="C3" s="2" t="s">
        <v>31</v>
      </c>
    </row>
    <row r="4" spans="1:3">
      <c r="A4" s="6">
        <v>45699</v>
      </c>
      <c r="B4" s="2" t="s">
        <v>35</v>
      </c>
      <c r="C4" s="2" t="s">
        <v>31</v>
      </c>
    </row>
    <row r="5" spans="1:3">
      <c r="A5" s="6">
        <v>45711</v>
      </c>
      <c r="B5" s="2" t="s">
        <v>36</v>
      </c>
      <c r="C5" s="2" t="s">
        <v>31</v>
      </c>
    </row>
    <row r="6" spans="1:3">
      <c r="A6" s="6">
        <v>45712</v>
      </c>
      <c r="B6" s="2" t="s">
        <v>48</v>
      </c>
      <c r="C6" s="2" t="s">
        <v>31</v>
      </c>
    </row>
    <row r="7" spans="1:3">
      <c r="A7" s="6">
        <v>45736</v>
      </c>
      <c r="B7" s="2" t="s">
        <v>37</v>
      </c>
      <c r="C7" s="2" t="s">
        <v>31</v>
      </c>
    </row>
    <row r="8" spans="1:3">
      <c r="A8" s="6">
        <v>45776</v>
      </c>
      <c r="B8" s="2" t="s">
        <v>38</v>
      </c>
      <c r="C8" s="2" t="s">
        <v>31</v>
      </c>
    </row>
    <row r="9" spans="1:3">
      <c r="A9" s="6">
        <v>45780</v>
      </c>
      <c r="B9" s="2" t="s">
        <v>39</v>
      </c>
      <c r="C9" s="2" t="s">
        <v>31</v>
      </c>
    </row>
    <row r="10" spans="1:3">
      <c r="A10" s="6">
        <v>45781</v>
      </c>
      <c r="B10" s="2" t="s">
        <v>40</v>
      </c>
      <c r="C10" s="2" t="s">
        <v>31</v>
      </c>
    </row>
    <row r="11" spans="1:3">
      <c r="A11" s="6">
        <v>45782</v>
      </c>
      <c r="B11" s="2" t="s">
        <v>41</v>
      </c>
      <c r="C11" s="2" t="s">
        <v>31</v>
      </c>
    </row>
    <row r="12" spans="1:3">
      <c r="A12" s="6">
        <v>45783</v>
      </c>
      <c r="B12" s="2" t="s">
        <v>48</v>
      </c>
      <c r="C12" s="2" t="s">
        <v>31</v>
      </c>
    </row>
    <row r="13" spans="1:3">
      <c r="A13" s="6">
        <v>45859</v>
      </c>
      <c r="B13" s="2" t="s">
        <v>42</v>
      </c>
      <c r="C13" s="2" t="s">
        <v>31</v>
      </c>
    </row>
    <row r="14" spans="1:3">
      <c r="A14" s="6">
        <v>45880</v>
      </c>
      <c r="B14" s="2" t="s">
        <v>43</v>
      </c>
      <c r="C14" s="2" t="s">
        <v>31</v>
      </c>
    </row>
    <row r="15" spans="1:3">
      <c r="A15" s="6">
        <v>45915</v>
      </c>
      <c r="B15" s="2" t="s">
        <v>44</v>
      </c>
      <c r="C15" s="2" t="s">
        <v>31</v>
      </c>
    </row>
    <row r="16" spans="1:3">
      <c r="A16" s="6">
        <v>45923</v>
      </c>
      <c r="B16" s="2" t="s">
        <v>44</v>
      </c>
      <c r="C16" s="2" t="s">
        <v>31</v>
      </c>
    </row>
    <row r="17" spans="1:3">
      <c r="A17" s="6">
        <v>45943</v>
      </c>
      <c r="B17" s="2" t="s">
        <v>45</v>
      </c>
      <c r="C17" s="2" t="s">
        <v>31</v>
      </c>
    </row>
    <row r="18" spans="1:3">
      <c r="A18" s="6">
        <v>45964</v>
      </c>
      <c r="B18" s="2" t="s">
        <v>46</v>
      </c>
      <c r="C18" s="2" t="s">
        <v>31</v>
      </c>
    </row>
    <row r="19" spans="1:3">
      <c r="A19" s="6">
        <v>45984</v>
      </c>
      <c r="B19" s="2" t="s">
        <v>47</v>
      </c>
      <c r="C19" s="2" t="s">
        <v>31</v>
      </c>
    </row>
    <row r="20" spans="1:3">
      <c r="A20" s="6">
        <v>45985</v>
      </c>
      <c r="B20" s="2" t="s">
        <v>48</v>
      </c>
      <c r="C20" s="2" t="s">
        <v>31</v>
      </c>
    </row>
    <row r="21" spans="1:3">
      <c r="A21" s="6">
        <v>46023</v>
      </c>
      <c r="B21" s="2" t="s">
        <v>30</v>
      </c>
      <c r="C21" s="2" t="s">
        <v>33</v>
      </c>
    </row>
    <row r="22" spans="1:3">
      <c r="A22" s="6">
        <v>46034</v>
      </c>
      <c r="B22" s="2" t="s">
        <v>32</v>
      </c>
      <c r="C22" s="2" t="s">
        <v>33</v>
      </c>
    </row>
    <row r="23" spans="1:3">
      <c r="A23" s="6">
        <v>46064</v>
      </c>
      <c r="B23" s="2" t="s">
        <v>35</v>
      </c>
      <c r="C23" s="2" t="s">
        <v>33</v>
      </c>
    </row>
    <row r="24" spans="1:3">
      <c r="A24" s="6">
        <v>46076</v>
      </c>
      <c r="B24" s="2" t="s">
        <v>36</v>
      </c>
      <c r="C24" s="2" t="s">
        <v>33</v>
      </c>
    </row>
    <row r="25" spans="1:3">
      <c r="A25" s="6">
        <v>46101</v>
      </c>
      <c r="B25" s="2" t="s">
        <v>37</v>
      </c>
      <c r="C25" s="2" t="s">
        <v>33</v>
      </c>
    </row>
    <row r="26" spans="1:3">
      <c r="A26" s="6">
        <v>46141</v>
      </c>
      <c r="B26" s="2" t="s">
        <v>38</v>
      </c>
      <c r="C26" s="2" t="s">
        <v>33</v>
      </c>
    </row>
    <row r="27" spans="1:3">
      <c r="A27" s="6">
        <v>46145</v>
      </c>
      <c r="B27" s="2" t="s">
        <v>39</v>
      </c>
      <c r="C27" s="2" t="s">
        <v>33</v>
      </c>
    </row>
    <row r="28" spans="1:3">
      <c r="A28" s="6">
        <v>46146</v>
      </c>
      <c r="B28" s="2" t="s">
        <v>40</v>
      </c>
      <c r="C28" s="2" t="s">
        <v>33</v>
      </c>
    </row>
    <row r="29" spans="1:3">
      <c r="A29" s="6">
        <v>46147</v>
      </c>
      <c r="B29" s="2" t="s">
        <v>41</v>
      </c>
      <c r="C29" s="2" t="s">
        <v>33</v>
      </c>
    </row>
    <row r="30" spans="1:3">
      <c r="A30" s="6">
        <v>46148</v>
      </c>
      <c r="B30" s="2" t="s">
        <v>48</v>
      </c>
      <c r="C30" s="2" t="s">
        <v>33</v>
      </c>
    </row>
    <row r="31" spans="1:3">
      <c r="A31" s="6">
        <v>46223</v>
      </c>
      <c r="B31" s="2" t="s">
        <v>42</v>
      </c>
      <c r="C31" s="2" t="s">
        <v>33</v>
      </c>
    </row>
    <row r="32" spans="1:3">
      <c r="A32" s="6">
        <v>46245</v>
      </c>
      <c r="B32" s="2" t="s">
        <v>43</v>
      </c>
      <c r="C32" s="2" t="s">
        <v>33</v>
      </c>
    </row>
    <row r="33" spans="1:3">
      <c r="A33" s="6">
        <v>46286</v>
      </c>
      <c r="B33" s="2" t="s">
        <v>44</v>
      </c>
      <c r="C33" s="2" t="s">
        <v>33</v>
      </c>
    </row>
    <row r="34" spans="1:3">
      <c r="A34" s="6">
        <v>46287</v>
      </c>
      <c r="B34" s="2" t="s">
        <v>49</v>
      </c>
      <c r="C34" s="2" t="s">
        <v>33</v>
      </c>
    </row>
    <row r="35" spans="1:3">
      <c r="A35" s="6">
        <v>46288</v>
      </c>
      <c r="B35" s="2" t="s">
        <v>44</v>
      </c>
      <c r="C35" s="2" t="s">
        <v>33</v>
      </c>
    </row>
    <row r="36" spans="1:3">
      <c r="A36" s="6">
        <v>46307</v>
      </c>
      <c r="B36" s="2" t="s">
        <v>45</v>
      </c>
      <c r="C36" s="2" t="s">
        <v>33</v>
      </c>
    </row>
    <row r="37" spans="1:3">
      <c r="A37" s="6">
        <v>46329</v>
      </c>
      <c r="B37" s="2" t="s">
        <v>46</v>
      </c>
      <c r="C37" s="2" t="s">
        <v>33</v>
      </c>
    </row>
    <row r="38" spans="1:3">
      <c r="A38" s="6">
        <v>46349</v>
      </c>
      <c r="B38" s="2" t="s">
        <v>47</v>
      </c>
      <c r="C38" s="2" t="s">
        <v>33</v>
      </c>
    </row>
    <row r="39" spans="1:3">
      <c r="A39" s="6">
        <v>46388</v>
      </c>
      <c r="B39" s="2" t="s">
        <v>30</v>
      </c>
      <c r="C39" s="2" t="s">
        <v>34</v>
      </c>
    </row>
    <row r="40" spans="1:3">
      <c r="A40" s="6">
        <v>46398</v>
      </c>
      <c r="B40" s="2" t="s">
        <v>32</v>
      </c>
      <c r="C40" s="2" t="s">
        <v>34</v>
      </c>
    </row>
    <row r="41" spans="1:3">
      <c r="A41" s="6">
        <v>46429</v>
      </c>
      <c r="B41" s="2" t="s">
        <v>35</v>
      </c>
      <c r="C41" s="2" t="s">
        <v>34</v>
      </c>
    </row>
    <row r="42" spans="1:3">
      <c r="A42" s="6">
        <v>46441</v>
      </c>
      <c r="B42" s="2" t="s">
        <v>36</v>
      </c>
      <c r="C42" s="2" t="s">
        <v>34</v>
      </c>
    </row>
    <row r="43" spans="1:3">
      <c r="A43" s="6">
        <v>46467</v>
      </c>
      <c r="B43" s="2" t="s">
        <v>37</v>
      </c>
      <c r="C43" s="2" t="s">
        <v>34</v>
      </c>
    </row>
    <row r="44" spans="1:3">
      <c r="A44" s="6">
        <v>46468</v>
      </c>
      <c r="B44" s="2" t="s">
        <v>48</v>
      </c>
      <c r="C44" s="2" t="s">
        <v>34</v>
      </c>
    </row>
    <row r="45" spans="1:3">
      <c r="A45" s="6">
        <v>46506</v>
      </c>
      <c r="B45" s="2" t="s">
        <v>38</v>
      </c>
      <c r="C45" s="2" t="s">
        <v>34</v>
      </c>
    </row>
    <row r="46" spans="1:3">
      <c r="A46" s="6">
        <v>46510</v>
      </c>
      <c r="B46" s="2" t="s">
        <v>39</v>
      </c>
      <c r="C46" s="2" t="s">
        <v>34</v>
      </c>
    </row>
    <row r="47" spans="1:3">
      <c r="A47" s="6">
        <v>46511</v>
      </c>
      <c r="B47" s="2" t="s">
        <v>40</v>
      </c>
      <c r="C47" s="2" t="s">
        <v>34</v>
      </c>
    </row>
    <row r="48" spans="1:3">
      <c r="A48" s="6">
        <v>46512</v>
      </c>
      <c r="B48" s="2" t="s">
        <v>41</v>
      </c>
      <c r="C48" s="2" t="s">
        <v>34</v>
      </c>
    </row>
    <row r="49" spans="1:3">
      <c r="A49" s="6">
        <v>46587</v>
      </c>
      <c r="B49" s="2" t="s">
        <v>42</v>
      </c>
      <c r="C49" s="2" t="s">
        <v>34</v>
      </c>
    </row>
    <row r="50" spans="1:3">
      <c r="A50" s="6">
        <v>46610</v>
      </c>
      <c r="B50" s="2" t="s">
        <v>43</v>
      </c>
      <c r="C50" s="2" t="s">
        <v>34</v>
      </c>
    </row>
    <row r="51" spans="1:3">
      <c r="A51" s="6">
        <v>46650</v>
      </c>
      <c r="B51" s="2" t="s">
        <v>44</v>
      </c>
      <c r="C51" s="2" t="s">
        <v>34</v>
      </c>
    </row>
    <row r="52" spans="1:3">
      <c r="A52" s="6">
        <v>46653</v>
      </c>
      <c r="B52" s="2" t="s">
        <v>44</v>
      </c>
      <c r="C52" s="2" t="s">
        <v>34</v>
      </c>
    </row>
    <row r="53" spans="1:3">
      <c r="A53" s="6">
        <v>46671</v>
      </c>
      <c r="B53" s="2" t="s">
        <v>45</v>
      </c>
      <c r="C53" s="2" t="s">
        <v>34</v>
      </c>
    </row>
    <row r="54" spans="1:3">
      <c r="A54" s="6">
        <v>46694</v>
      </c>
      <c r="B54" s="2" t="s">
        <v>46</v>
      </c>
      <c r="C54" s="2" t="s">
        <v>34</v>
      </c>
    </row>
    <row r="55" spans="1:3">
      <c r="A55" s="6">
        <v>46714</v>
      </c>
      <c r="B55" s="2" t="s">
        <v>47</v>
      </c>
      <c r="C55" s="2" t="s">
        <v>34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お酒マスタ</vt:lpstr>
      <vt:lpstr>飲酒記録</vt:lpstr>
      <vt:lpstr>集計</vt:lpstr>
      <vt:lpstr>祝日マスタ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2025-06-30T12:03:44Z</dcterms:modified>
</cp:coreProperties>
</file>